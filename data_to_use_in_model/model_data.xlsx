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.Kinz\Documents\Graduate School\Thesis Data Analysis\MS_thesis_R_work\MS_Thesis\data_to_use_in_model\"/>
    </mc:Choice>
  </mc:AlternateContent>
  <xr:revisionPtr revIDLastSave="0" documentId="13_ncr:1_{59338534-B41B-4620-BE7E-86099062CD46}" xr6:coauthVersionLast="47" xr6:coauthVersionMax="47" xr10:uidLastSave="{00000000-0000-0000-0000-000000000000}"/>
  <bookViews>
    <workbookView xWindow="17040" yWindow="230" windowWidth="2390" windowHeight="10170" activeTab="1" xr2:uid="{00000000-000D-0000-FFFF-FFFF00000000}"/>
  </bookViews>
  <sheets>
    <sheet name="Raw" sheetId="1" r:id="rId1"/>
    <sheet name="Feed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2" i="1"/>
</calcChain>
</file>

<file path=xl/sharedStrings.xml><?xml version="1.0" encoding="utf-8"?>
<sst xmlns="http://schemas.openxmlformats.org/spreadsheetml/2006/main" count="189" uniqueCount="99">
  <si>
    <t>site_number</t>
  </si>
  <si>
    <t>nitrate</t>
  </si>
  <si>
    <t>GPM</t>
  </si>
  <si>
    <t>state</t>
  </si>
  <si>
    <t>400605076335801</t>
  </si>
  <si>
    <t>PA</t>
  </si>
  <si>
    <t>400744077242901</t>
  </si>
  <si>
    <t>400841077274501</t>
  </si>
  <si>
    <t>400941077185901</t>
  </si>
  <si>
    <t>400943077005001</t>
  </si>
  <si>
    <t>401003077155301</t>
  </si>
  <si>
    <t>403933077385101</t>
  </si>
  <si>
    <t>404221077580501</t>
  </si>
  <si>
    <t>405105077492101</t>
  </si>
  <si>
    <t>405145077452601</t>
  </si>
  <si>
    <t>405324077453701</t>
  </si>
  <si>
    <t>405938077250301</t>
  </si>
  <si>
    <t>391805077550701</t>
  </si>
  <si>
    <t>WV</t>
  </si>
  <si>
    <t>1342</t>
  </si>
  <si>
    <t>1336</t>
  </si>
  <si>
    <t>1332</t>
  </si>
  <si>
    <t>1329</t>
  </si>
  <si>
    <t>1327</t>
  </si>
  <si>
    <t>1315</t>
  </si>
  <si>
    <t>1359</t>
  </si>
  <si>
    <t>1277</t>
  </si>
  <si>
    <t>1276</t>
  </si>
  <si>
    <t>1275</t>
  </si>
  <si>
    <t>1271</t>
  </si>
  <si>
    <t>1269</t>
  </si>
  <si>
    <t>1730</t>
  </si>
  <si>
    <t>156</t>
  </si>
  <si>
    <t>776</t>
  </si>
  <si>
    <t>934</t>
  </si>
  <si>
    <t>107-00170</t>
  </si>
  <si>
    <t>VA</t>
  </si>
  <si>
    <t>107-00902</t>
  </si>
  <si>
    <t>107-00912</t>
  </si>
  <si>
    <t>121-00150</t>
  </si>
  <si>
    <t>121-00209</t>
  </si>
  <si>
    <t>121-00211</t>
  </si>
  <si>
    <t>121-00214</t>
  </si>
  <si>
    <t>134-00031</t>
  </si>
  <si>
    <t>134-00034</t>
  </si>
  <si>
    <t>134-00131</t>
  </si>
  <si>
    <t>134-00289</t>
  </si>
  <si>
    <t>182-00265</t>
  </si>
  <si>
    <t>182-00584</t>
  </si>
  <si>
    <t>182-00585</t>
  </si>
  <si>
    <t>182-00857</t>
  </si>
  <si>
    <t>193-00124</t>
  </si>
  <si>
    <t>cubic_meters_per_day</t>
  </si>
  <si>
    <t>assignment</t>
  </si>
  <si>
    <t>s1</t>
  </si>
  <si>
    <t>s2</t>
  </si>
  <si>
    <t>s4</t>
  </si>
  <si>
    <t>s8</t>
  </si>
  <si>
    <t>s6</t>
  </si>
  <si>
    <t>s3</t>
  </si>
  <si>
    <t>s7</t>
  </si>
  <si>
    <t>s9</t>
  </si>
  <si>
    <t>s5</t>
  </si>
  <si>
    <t>s32</t>
  </si>
  <si>
    <t>s16</t>
  </si>
  <si>
    <t>s10</t>
  </si>
  <si>
    <t>s11</t>
  </si>
  <si>
    <t>s12</t>
  </si>
  <si>
    <t>s13</t>
  </si>
  <si>
    <t>s14</t>
  </si>
  <si>
    <t>s15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</si>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</sst>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workbookViewId="0">
      <selection activeCell="G1" sqref="G1"/>
    </sheetView>
  </sheetViews>
  <sheetFormatPr defaultRowHeight="15" x14ac:dyDescent="0.25"/>
  <cols>
    <col min="1" max="1" width="16.7109375" bestFit="1" customWidth="1"/>
    <col min="2" max="2" width="7" bestFit="1" customWidth="1"/>
    <col min="3" max="3" width="10.28515625" bestFit="1" customWidth="1"/>
    <col min="5" max="5" width="21.42578125" bestFit="1" customWidth="1"/>
    <col min="6" max="6" width="11.140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53</v>
      </c>
    </row>
    <row r="2" spans="1:6" x14ac:dyDescent="0.25">
      <c r="A2" t="s">
        <v>4</v>
      </c>
      <c r="B2">
        <v>21.3</v>
      </c>
      <c r="C2">
        <v>1750.4369999999999</v>
      </c>
      <c r="D2" t="s">
        <v>5</v>
      </c>
      <c r="E2" s="2">
        <f>C2*5.45099</f>
        <v>9541.6145826299999</v>
      </c>
      <c r="F2" s="3" t="s">
        <v>54</v>
      </c>
    </row>
    <row r="3" spans="1:6" x14ac:dyDescent="0.25">
      <c r="A3" t="s">
        <v>6</v>
      </c>
      <c r="B3">
        <v>4</v>
      </c>
      <c r="C3">
        <v>11220.75</v>
      </c>
      <c r="D3" t="s">
        <v>5</v>
      </c>
      <c r="E3" s="2">
        <f t="shared" ref="E3:E46" si="0">C3*5.45099</f>
        <v>61164.1960425</v>
      </c>
      <c r="F3" s="3" t="s">
        <v>55</v>
      </c>
    </row>
    <row r="4" spans="1:6" x14ac:dyDescent="0.25">
      <c r="A4" t="s">
        <v>7</v>
      </c>
      <c r="B4">
        <v>5.7</v>
      </c>
      <c r="C4">
        <v>897.66</v>
      </c>
      <c r="D4" t="s">
        <v>5</v>
      </c>
      <c r="E4" s="2">
        <f t="shared" si="0"/>
        <v>4893.1356833999998</v>
      </c>
      <c r="F4" s="3" t="s">
        <v>59</v>
      </c>
    </row>
    <row r="5" spans="1:6" x14ac:dyDescent="0.25">
      <c r="A5" t="s">
        <v>8</v>
      </c>
      <c r="B5">
        <v>6</v>
      </c>
      <c r="C5">
        <v>852.77700000000004</v>
      </c>
      <c r="D5" t="s">
        <v>5</v>
      </c>
      <c r="E5" s="2">
        <f t="shared" si="0"/>
        <v>4648.47889923</v>
      </c>
      <c r="F5" s="3" t="s">
        <v>56</v>
      </c>
    </row>
    <row r="6" spans="1:6" x14ac:dyDescent="0.25">
      <c r="A6" t="s">
        <v>9</v>
      </c>
      <c r="B6">
        <v>10</v>
      </c>
      <c r="C6">
        <v>1548.4635000000001</v>
      </c>
      <c r="D6" t="s">
        <v>5</v>
      </c>
      <c r="E6" s="2">
        <f t="shared" si="0"/>
        <v>8440.6590538649998</v>
      </c>
      <c r="F6" s="3" t="s">
        <v>62</v>
      </c>
    </row>
    <row r="7" spans="1:6" x14ac:dyDescent="0.25">
      <c r="A7" t="s">
        <v>10</v>
      </c>
      <c r="B7">
        <v>6.66</v>
      </c>
      <c r="C7">
        <v>897.66</v>
      </c>
      <c r="D7" t="s">
        <v>5</v>
      </c>
      <c r="E7" s="2">
        <f t="shared" si="0"/>
        <v>4893.1356833999998</v>
      </c>
      <c r="F7" s="3" t="s">
        <v>58</v>
      </c>
    </row>
    <row r="8" spans="1:6" x14ac:dyDescent="0.25">
      <c r="A8" t="s">
        <v>11</v>
      </c>
      <c r="B8">
        <v>7.55</v>
      </c>
      <c r="C8">
        <v>1211.8409999999999</v>
      </c>
      <c r="D8" t="s">
        <v>5</v>
      </c>
      <c r="E8" s="2">
        <f t="shared" si="0"/>
        <v>6605.7331725899994</v>
      </c>
      <c r="F8" s="3" t="s">
        <v>60</v>
      </c>
    </row>
    <row r="9" spans="1:6" x14ac:dyDescent="0.25">
      <c r="A9" t="s">
        <v>12</v>
      </c>
      <c r="B9">
        <v>3.74</v>
      </c>
      <c r="C9">
        <v>1705.5540000000001</v>
      </c>
      <c r="D9" t="s">
        <v>5</v>
      </c>
      <c r="E9" s="2">
        <f t="shared" si="0"/>
        <v>9296.95779846</v>
      </c>
      <c r="F9" s="3" t="s">
        <v>57</v>
      </c>
    </row>
    <row r="10" spans="1:6" x14ac:dyDescent="0.25">
      <c r="A10" t="s">
        <v>13</v>
      </c>
      <c r="B10">
        <v>3.35</v>
      </c>
      <c r="C10">
        <v>4084.3530000000001</v>
      </c>
      <c r="D10" t="s">
        <v>5</v>
      </c>
      <c r="E10" s="2">
        <f t="shared" si="0"/>
        <v>22263.767359469999</v>
      </c>
      <c r="F10" s="3" t="s">
        <v>61</v>
      </c>
    </row>
    <row r="11" spans="1:6" x14ac:dyDescent="0.25">
      <c r="A11" t="s">
        <v>14</v>
      </c>
      <c r="B11">
        <v>5.46</v>
      </c>
      <c r="C11">
        <v>2244.15</v>
      </c>
      <c r="D11" t="s">
        <v>5</v>
      </c>
      <c r="E11" s="2">
        <f t="shared" si="0"/>
        <v>12232.839208500001</v>
      </c>
      <c r="F11" s="3" t="s">
        <v>65</v>
      </c>
    </row>
    <row r="12" spans="1:6" x14ac:dyDescent="0.25">
      <c r="A12" t="s">
        <v>15</v>
      </c>
      <c r="B12">
        <v>7.92</v>
      </c>
      <c r="C12">
        <v>897.66</v>
      </c>
      <c r="D12" t="s">
        <v>5</v>
      </c>
      <c r="E12" s="2">
        <f t="shared" si="0"/>
        <v>4893.1356833999998</v>
      </c>
      <c r="F12" s="3" t="s">
        <v>66</v>
      </c>
    </row>
    <row r="13" spans="1:6" x14ac:dyDescent="0.25">
      <c r="A13" t="s">
        <v>16</v>
      </c>
      <c r="B13">
        <v>3.3</v>
      </c>
      <c r="C13">
        <v>13016.07</v>
      </c>
      <c r="D13" t="s">
        <v>5</v>
      </c>
      <c r="E13" s="2">
        <f t="shared" si="0"/>
        <v>70950.467409299992</v>
      </c>
      <c r="F13" s="3" t="s">
        <v>67</v>
      </c>
    </row>
    <row r="14" spans="1:6" x14ac:dyDescent="0.25">
      <c r="A14" t="s">
        <v>17</v>
      </c>
      <c r="B14">
        <v>4.3499999999999996</v>
      </c>
      <c r="C14">
        <v>493.71300000000002</v>
      </c>
      <c r="D14" t="s">
        <v>18</v>
      </c>
      <c r="E14" s="2">
        <f t="shared" si="0"/>
        <v>2691.2246258700002</v>
      </c>
      <c r="F14" s="3" t="s">
        <v>68</v>
      </c>
    </row>
    <row r="15" spans="1:6" x14ac:dyDescent="0.25">
      <c r="A15" t="s">
        <v>19</v>
      </c>
      <c r="B15">
        <v>3.74</v>
      </c>
      <c r="C15">
        <v>738</v>
      </c>
      <c r="D15" t="s">
        <v>5</v>
      </c>
      <c r="E15" s="2">
        <f t="shared" si="0"/>
        <v>4022.8306200000002</v>
      </c>
      <c r="F15" s="3" t="s">
        <v>69</v>
      </c>
    </row>
    <row r="16" spans="1:6" x14ac:dyDescent="0.25">
      <c r="A16" t="s">
        <v>20</v>
      </c>
      <c r="B16">
        <v>7.92</v>
      </c>
      <c r="C16">
        <v>943</v>
      </c>
      <c r="D16" t="s">
        <v>5</v>
      </c>
      <c r="E16" s="2">
        <f t="shared" si="0"/>
        <v>5140.2835699999996</v>
      </c>
      <c r="F16" s="3" t="s">
        <v>70</v>
      </c>
    </row>
    <row r="17" spans="1:6" x14ac:dyDescent="0.25">
      <c r="A17" t="s">
        <v>21</v>
      </c>
      <c r="B17">
        <v>5.72</v>
      </c>
      <c r="C17">
        <v>3150</v>
      </c>
      <c r="D17" t="s">
        <v>5</v>
      </c>
      <c r="E17" s="2">
        <f t="shared" si="0"/>
        <v>17170.6185</v>
      </c>
      <c r="F17" s="3" t="s">
        <v>64</v>
      </c>
    </row>
    <row r="18" spans="1:6" x14ac:dyDescent="0.25">
      <c r="A18" t="s">
        <v>22</v>
      </c>
      <c r="B18">
        <v>5.46</v>
      </c>
      <c r="C18">
        <v>3500</v>
      </c>
      <c r="D18" t="s">
        <v>5</v>
      </c>
      <c r="E18" s="2">
        <f t="shared" si="0"/>
        <v>19078.465</v>
      </c>
      <c r="F18" s="3" t="s">
        <v>71</v>
      </c>
    </row>
    <row r="19" spans="1:6" x14ac:dyDescent="0.25">
      <c r="A19" t="s">
        <v>23</v>
      </c>
      <c r="B19">
        <v>4.2</v>
      </c>
      <c r="C19">
        <v>5690</v>
      </c>
      <c r="D19" t="s">
        <v>5</v>
      </c>
      <c r="E19" s="2">
        <f t="shared" si="0"/>
        <v>31016.133099999999</v>
      </c>
      <c r="F19" s="3" t="s">
        <v>72</v>
      </c>
    </row>
    <row r="20" spans="1:6" x14ac:dyDescent="0.25">
      <c r="A20" t="s">
        <v>24</v>
      </c>
      <c r="B20">
        <v>3.74</v>
      </c>
      <c r="C20">
        <v>1710</v>
      </c>
      <c r="D20" t="s">
        <v>5</v>
      </c>
      <c r="E20" s="2">
        <f t="shared" si="0"/>
        <v>9321.1929</v>
      </c>
      <c r="F20" s="3" t="s">
        <v>73</v>
      </c>
    </row>
    <row r="21" spans="1:6" x14ac:dyDescent="0.25">
      <c r="A21" t="s">
        <v>25</v>
      </c>
      <c r="B21">
        <v>3.3</v>
      </c>
      <c r="C21">
        <v>13000</v>
      </c>
      <c r="D21" t="s">
        <v>5</v>
      </c>
      <c r="E21" s="2">
        <f t="shared" si="0"/>
        <v>70862.87</v>
      </c>
      <c r="F21" s="3" t="s">
        <v>74</v>
      </c>
    </row>
    <row r="22" spans="1:6" x14ac:dyDescent="0.25">
      <c r="A22" t="s">
        <v>26</v>
      </c>
      <c r="B22">
        <v>10</v>
      </c>
      <c r="C22">
        <v>1460</v>
      </c>
      <c r="D22" t="s">
        <v>5</v>
      </c>
      <c r="E22" s="2">
        <f t="shared" si="0"/>
        <v>7958.4453999999996</v>
      </c>
      <c r="F22" s="3" t="s">
        <v>75</v>
      </c>
    </row>
    <row r="23" spans="1:6" x14ac:dyDescent="0.25">
      <c r="A23" t="s">
        <v>27</v>
      </c>
      <c r="B23">
        <v>4.3</v>
      </c>
      <c r="C23">
        <v>1500</v>
      </c>
      <c r="D23" t="s">
        <v>5</v>
      </c>
      <c r="E23" s="2">
        <f t="shared" si="0"/>
        <v>8176.4849999999997</v>
      </c>
      <c r="F23" s="3" t="s">
        <v>76</v>
      </c>
    </row>
    <row r="24" spans="1:6" x14ac:dyDescent="0.25">
      <c r="A24" t="s">
        <v>28</v>
      </c>
      <c r="B24">
        <v>8.3000000000000007</v>
      </c>
      <c r="C24">
        <v>1580</v>
      </c>
      <c r="D24" t="s">
        <v>5</v>
      </c>
      <c r="E24" s="2">
        <f t="shared" si="0"/>
        <v>8612.5642000000007</v>
      </c>
      <c r="F24" s="3" t="s">
        <v>77</v>
      </c>
    </row>
    <row r="25" spans="1:6" x14ac:dyDescent="0.25">
      <c r="A25" t="s">
        <v>29</v>
      </c>
      <c r="B25">
        <v>5.7</v>
      </c>
      <c r="C25">
        <v>1400</v>
      </c>
      <c r="D25" t="s">
        <v>5</v>
      </c>
      <c r="E25" s="2">
        <f t="shared" si="0"/>
        <v>7631.3860000000004</v>
      </c>
      <c r="F25" s="3" t="s">
        <v>78</v>
      </c>
    </row>
    <row r="26" spans="1:6" x14ac:dyDescent="0.25">
      <c r="A26" t="s">
        <v>30</v>
      </c>
      <c r="B26">
        <v>3.2</v>
      </c>
      <c r="C26">
        <v>11674</v>
      </c>
      <c r="D26" t="s">
        <v>5</v>
      </c>
      <c r="E26" s="2">
        <f t="shared" si="0"/>
        <v>63634.857259999997</v>
      </c>
      <c r="F26" s="3" t="s">
        <v>79</v>
      </c>
    </row>
    <row r="27" spans="1:6" x14ac:dyDescent="0.25">
      <c r="A27" t="s">
        <v>31</v>
      </c>
      <c r="B27">
        <v>3.4</v>
      </c>
      <c r="C27">
        <v>100</v>
      </c>
      <c r="D27" t="s">
        <v>5</v>
      </c>
      <c r="E27" s="2">
        <f t="shared" si="0"/>
        <v>545.09900000000005</v>
      </c>
      <c r="F27" s="3" t="s">
        <v>80</v>
      </c>
    </row>
    <row r="28" spans="1:6" x14ac:dyDescent="0.25">
      <c r="A28" t="s">
        <v>32</v>
      </c>
      <c r="B28">
        <v>8.1</v>
      </c>
      <c r="C28">
        <v>1300</v>
      </c>
      <c r="D28" t="s">
        <v>5</v>
      </c>
      <c r="E28" s="2">
        <f t="shared" si="0"/>
        <v>7086.2870000000003</v>
      </c>
      <c r="F28" s="3" t="s">
        <v>81</v>
      </c>
    </row>
    <row r="29" spans="1:6" x14ac:dyDescent="0.25">
      <c r="A29" t="s">
        <v>33</v>
      </c>
      <c r="B29">
        <v>4.4000000000000004</v>
      </c>
      <c r="C29">
        <v>1845</v>
      </c>
      <c r="D29" t="s">
        <v>5</v>
      </c>
      <c r="E29" s="2">
        <f t="shared" si="0"/>
        <v>10057.07655</v>
      </c>
      <c r="F29" s="3" t="s">
        <v>82</v>
      </c>
    </row>
    <row r="30" spans="1:6" x14ac:dyDescent="0.25">
      <c r="A30" t="s">
        <v>34</v>
      </c>
      <c r="B30">
        <v>7.55</v>
      </c>
      <c r="C30">
        <v>865</v>
      </c>
      <c r="D30" t="s">
        <v>5</v>
      </c>
      <c r="E30" s="2">
        <f t="shared" si="0"/>
        <v>4715.10635</v>
      </c>
      <c r="F30" s="3" t="s">
        <v>83</v>
      </c>
    </row>
    <row r="31" spans="1:6" x14ac:dyDescent="0.25">
      <c r="A31" t="s">
        <v>35</v>
      </c>
      <c r="B31">
        <v>12</v>
      </c>
      <c r="C31">
        <v>1617.22</v>
      </c>
      <c r="D31" t="s">
        <v>36</v>
      </c>
      <c r="E31" s="2">
        <f t="shared" si="0"/>
        <v>8815.4500478000009</v>
      </c>
      <c r="F31" s="3" t="s">
        <v>84</v>
      </c>
    </row>
    <row r="32" spans="1:6" x14ac:dyDescent="0.25">
      <c r="A32" t="s">
        <v>37</v>
      </c>
      <c r="B32">
        <v>3.9</v>
      </c>
      <c r="C32">
        <v>130</v>
      </c>
      <c r="D32" t="s">
        <v>36</v>
      </c>
      <c r="E32" s="2">
        <f t="shared" si="0"/>
        <v>708.62869999999998</v>
      </c>
      <c r="F32" s="3" t="s">
        <v>85</v>
      </c>
    </row>
    <row r="33" spans="1:6" x14ac:dyDescent="0.25">
      <c r="A33" t="s">
        <v>38</v>
      </c>
      <c r="B33">
        <v>5.5</v>
      </c>
      <c r="C33">
        <v>387</v>
      </c>
      <c r="D33" t="s">
        <v>36</v>
      </c>
      <c r="E33" s="2">
        <f t="shared" si="0"/>
        <v>2109.5331299999998</v>
      </c>
      <c r="F33" s="3" t="s">
        <v>63</v>
      </c>
    </row>
    <row r="34" spans="1:6" x14ac:dyDescent="0.25">
      <c r="A34" t="s">
        <v>39</v>
      </c>
      <c r="B34">
        <v>3.2</v>
      </c>
      <c r="C34">
        <v>851.375</v>
      </c>
      <c r="D34" t="s">
        <v>36</v>
      </c>
      <c r="E34" s="2">
        <f t="shared" si="0"/>
        <v>4640.8366112499998</v>
      </c>
      <c r="F34" s="3" t="s">
        <v>86</v>
      </c>
    </row>
    <row r="35" spans="1:6" x14ac:dyDescent="0.25">
      <c r="A35" t="s">
        <v>40</v>
      </c>
      <c r="B35">
        <v>4.2</v>
      </c>
      <c r="C35">
        <v>394.9</v>
      </c>
      <c r="D35" t="s">
        <v>36</v>
      </c>
      <c r="E35" s="2">
        <f t="shared" si="0"/>
        <v>2152.5959509999998</v>
      </c>
      <c r="F35" s="3" t="s">
        <v>87</v>
      </c>
    </row>
    <row r="36" spans="1:6" x14ac:dyDescent="0.25">
      <c r="A36" t="s">
        <v>41</v>
      </c>
      <c r="B36">
        <v>3.1</v>
      </c>
      <c r="C36">
        <v>2387.62</v>
      </c>
      <c r="D36" t="s">
        <v>36</v>
      </c>
      <c r="E36" s="2">
        <f t="shared" si="0"/>
        <v>13014.892743799999</v>
      </c>
      <c r="F36" s="3" t="s">
        <v>88</v>
      </c>
    </row>
    <row r="37" spans="1:6" x14ac:dyDescent="0.25">
      <c r="A37" t="s">
        <v>42</v>
      </c>
      <c r="B37">
        <v>3.35</v>
      </c>
      <c r="C37">
        <v>587.54</v>
      </c>
      <c r="D37" t="s">
        <v>36</v>
      </c>
      <c r="E37" s="2">
        <f t="shared" si="0"/>
        <v>3202.6746645999997</v>
      </c>
      <c r="F37" s="3" t="s">
        <v>89</v>
      </c>
    </row>
    <row r="38" spans="1:6" x14ac:dyDescent="0.25">
      <c r="A38" t="s">
        <v>43</v>
      </c>
      <c r="B38">
        <v>3.3</v>
      </c>
      <c r="C38">
        <v>1997</v>
      </c>
      <c r="D38" t="s">
        <v>36</v>
      </c>
      <c r="E38" s="2">
        <f t="shared" si="0"/>
        <v>10885.62703</v>
      </c>
      <c r="F38" s="3" t="s">
        <v>90</v>
      </c>
    </row>
    <row r="39" spans="1:6" x14ac:dyDescent="0.25">
      <c r="A39" t="s">
        <v>44</v>
      </c>
      <c r="B39">
        <v>3.4</v>
      </c>
      <c r="C39">
        <v>1530.91</v>
      </c>
      <c r="D39" t="s">
        <v>36</v>
      </c>
      <c r="E39" s="2">
        <f t="shared" si="0"/>
        <v>8344.9751009000011</v>
      </c>
      <c r="F39" s="3" t="s">
        <v>91</v>
      </c>
    </row>
    <row r="40" spans="1:6" x14ac:dyDescent="0.25">
      <c r="A40" t="s">
        <v>45</v>
      </c>
      <c r="B40">
        <v>3.5</v>
      </c>
      <c r="C40">
        <v>1070.3900000000001</v>
      </c>
      <c r="D40" t="s">
        <v>36</v>
      </c>
      <c r="E40" s="2">
        <f t="shared" si="0"/>
        <v>5834.6851861000005</v>
      </c>
      <c r="F40" s="3" t="s">
        <v>92</v>
      </c>
    </row>
    <row r="41" spans="1:6" x14ac:dyDescent="0.25">
      <c r="A41" t="s">
        <v>46</v>
      </c>
      <c r="B41">
        <v>3.7</v>
      </c>
      <c r="C41">
        <v>968</v>
      </c>
      <c r="D41" t="s">
        <v>36</v>
      </c>
      <c r="E41" s="2">
        <f t="shared" si="0"/>
        <v>5276.5583200000001</v>
      </c>
      <c r="F41" s="3" t="s">
        <v>93</v>
      </c>
    </row>
    <row r="42" spans="1:6" x14ac:dyDescent="0.25">
      <c r="A42" t="s">
        <v>47</v>
      </c>
      <c r="B42">
        <v>3.7</v>
      </c>
      <c r="C42">
        <v>3048.5</v>
      </c>
      <c r="D42" t="s">
        <v>36</v>
      </c>
      <c r="E42" s="2">
        <f t="shared" si="0"/>
        <v>16617.343014999999</v>
      </c>
      <c r="F42" s="3" t="s">
        <v>94</v>
      </c>
    </row>
    <row r="43" spans="1:6" x14ac:dyDescent="0.25">
      <c r="A43" t="s">
        <v>48</v>
      </c>
      <c r="B43">
        <v>3.3</v>
      </c>
      <c r="C43">
        <v>1989.12</v>
      </c>
      <c r="D43" t="s">
        <v>36</v>
      </c>
      <c r="E43" s="2">
        <f t="shared" si="0"/>
        <v>10842.6732288</v>
      </c>
      <c r="F43" s="3" t="s">
        <v>95</v>
      </c>
    </row>
    <row r="44" spans="1:6" x14ac:dyDescent="0.25">
      <c r="A44" t="s">
        <v>49</v>
      </c>
      <c r="B44">
        <v>4.75</v>
      </c>
      <c r="C44">
        <v>2701.78</v>
      </c>
      <c r="D44" t="s">
        <v>36</v>
      </c>
      <c r="E44" s="2">
        <f t="shared" si="0"/>
        <v>14727.375762200001</v>
      </c>
      <c r="F44" s="3" t="s">
        <v>96</v>
      </c>
    </row>
    <row r="45" spans="1:6" x14ac:dyDescent="0.25">
      <c r="A45" t="s">
        <v>50</v>
      </c>
      <c r="B45">
        <v>3</v>
      </c>
      <c r="C45">
        <v>148.1</v>
      </c>
      <c r="D45" t="s">
        <v>36</v>
      </c>
      <c r="E45" s="2">
        <f t="shared" si="0"/>
        <v>807.29161899999997</v>
      </c>
      <c r="F45" s="3" t="s">
        <v>97</v>
      </c>
    </row>
    <row r="46" spans="1:6" x14ac:dyDescent="0.25">
      <c r="A46" t="s">
        <v>51</v>
      </c>
      <c r="B46">
        <v>3</v>
      </c>
      <c r="C46">
        <v>1328</v>
      </c>
      <c r="D46" t="s">
        <v>36</v>
      </c>
      <c r="E46" s="2">
        <f t="shared" si="0"/>
        <v>7238.9147199999998</v>
      </c>
      <c r="F46" s="3" t="s">
        <v>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ECA1-C841-4E9C-8DD4-6AF228DEE9C6}">
  <dimension ref="A1:C46"/>
  <sheetViews>
    <sheetView tabSelected="1" workbookViewId="0">
      <selection activeCell="E3" sqref="E3"/>
    </sheetView>
  </sheetViews>
  <sheetFormatPr defaultRowHeight="15" x14ac:dyDescent="0.25"/>
  <cols>
    <col min="1" max="1" width="11.140625" bestFit="1" customWidth="1"/>
    <col min="2" max="2" width="21.42578125" bestFit="1" customWidth="1"/>
  </cols>
  <sheetData>
    <row r="1" spans="1:3" x14ac:dyDescent="0.25">
      <c r="A1" s="1" t="s">
        <v>53</v>
      </c>
      <c r="B1" s="4" t="s">
        <v>52</v>
      </c>
      <c r="C1" s="1" t="s">
        <v>1</v>
      </c>
    </row>
    <row r="2" spans="1:3" x14ac:dyDescent="0.25">
      <c r="A2" s="3" t="s">
        <v>54</v>
      </c>
      <c r="B2">
        <v>9541.6145826299999</v>
      </c>
      <c r="C2">
        <v>21.3</v>
      </c>
    </row>
    <row r="3" spans="1:3" x14ac:dyDescent="0.25">
      <c r="A3" s="3" t="s">
        <v>55</v>
      </c>
      <c r="B3">
        <v>61164.1960425</v>
      </c>
      <c r="C3">
        <v>4</v>
      </c>
    </row>
    <row r="4" spans="1:3" x14ac:dyDescent="0.25">
      <c r="A4" s="3" t="s">
        <v>59</v>
      </c>
      <c r="B4">
        <v>4893.1356833999998</v>
      </c>
      <c r="C4">
        <v>5.7</v>
      </c>
    </row>
    <row r="5" spans="1:3" x14ac:dyDescent="0.25">
      <c r="A5" s="3" t="s">
        <v>56</v>
      </c>
      <c r="B5">
        <v>4648.47889923</v>
      </c>
      <c r="C5">
        <v>6</v>
      </c>
    </row>
    <row r="6" spans="1:3" x14ac:dyDescent="0.25">
      <c r="A6" s="3" t="s">
        <v>62</v>
      </c>
      <c r="B6">
        <v>8440.6590538649998</v>
      </c>
      <c r="C6">
        <v>10</v>
      </c>
    </row>
    <row r="7" spans="1:3" x14ac:dyDescent="0.25">
      <c r="A7" s="3" t="s">
        <v>58</v>
      </c>
      <c r="B7">
        <v>4893.1356833999998</v>
      </c>
      <c r="C7">
        <v>6.66</v>
      </c>
    </row>
    <row r="8" spans="1:3" x14ac:dyDescent="0.25">
      <c r="A8" s="3" t="s">
        <v>60</v>
      </c>
      <c r="B8">
        <v>6605.7331725899994</v>
      </c>
      <c r="C8">
        <v>7.55</v>
      </c>
    </row>
    <row r="9" spans="1:3" x14ac:dyDescent="0.25">
      <c r="A9" s="3" t="s">
        <v>57</v>
      </c>
      <c r="B9">
        <v>9296.95779846</v>
      </c>
      <c r="C9">
        <v>3.74</v>
      </c>
    </row>
    <row r="10" spans="1:3" x14ac:dyDescent="0.25">
      <c r="A10" s="3" t="s">
        <v>61</v>
      </c>
      <c r="B10">
        <v>22263.767359469999</v>
      </c>
      <c r="C10">
        <v>3.35</v>
      </c>
    </row>
    <row r="11" spans="1:3" x14ac:dyDescent="0.25">
      <c r="A11" s="3" t="s">
        <v>65</v>
      </c>
      <c r="B11">
        <v>12232.839208500001</v>
      </c>
      <c r="C11">
        <v>5.46</v>
      </c>
    </row>
    <row r="12" spans="1:3" x14ac:dyDescent="0.25">
      <c r="A12" s="3" t="s">
        <v>66</v>
      </c>
      <c r="B12">
        <v>4893.1356833999998</v>
      </c>
      <c r="C12">
        <v>7.92</v>
      </c>
    </row>
    <row r="13" spans="1:3" x14ac:dyDescent="0.25">
      <c r="A13" s="3" t="s">
        <v>67</v>
      </c>
      <c r="B13">
        <v>70950.467409299992</v>
      </c>
      <c r="C13">
        <v>3.3</v>
      </c>
    </row>
    <row r="14" spans="1:3" x14ac:dyDescent="0.25">
      <c r="A14" s="3" t="s">
        <v>68</v>
      </c>
      <c r="B14">
        <v>2691.2246258700002</v>
      </c>
      <c r="C14">
        <v>4.3499999999999996</v>
      </c>
    </row>
    <row r="15" spans="1:3" x14ac:dyDescent="0.25">
      <c r="A15" s="3" t="s">
        <v>69</v>
      </c>
      <c r="B15">
        <v>4022.8306200000002</v>
      </c>
      <c r="C15">
        <v>3.74</v>
      </c>
    </row>
    <row r="16" spans="1:3" x14ac:dyDescent="0.25">
      <c r="A16" s="3" t="s">
        <v>70</v>
      </c>
      <c r="B16">
        <v>5140.2835699999996</v>
      </c>
      <c r="C16">
        <v>7.92</v>
      </c>
    </row>
    <row r="17" spans="1:3" x14ac:dyDescent="0.25">
      <c r="A17" s="3" t="s">
        <v>64</v>
      </c>
      <c r="B17">
        <v>17170.6185</v>
      </c>
      <c r="C17">
        <v>5.72</v>
      </c>
    </row>
    <row r="18" spans="1:3" x14ac:dyDescent="0.25">
      <c r="A18" s="3" t="s">
        <v>71</v>
      </c>
      <c r="B18">
        <v>19078.465</v>
      </c>
      <c r="C18">
        <v>5.46</v>
      </c>
    </row>
    <row r="19" spans="1:3" x14ac:dyDescent="0.25">
      <c r="A19" s="3" t="s">
        <v>72</v>
      </c>
      <c r="B19">
        <v>31016.133099999999</v>
      </c>
      <c r="C19">
        <v>4.2</v>
      </c>
    </row>
    <row r="20" spans="1:3" x14ac:dyDescent="0.25">
      <c r="A20" s="3" t="s">
        <v>73</v>
      </c>
      <c r="B20">
        <v>9321.1929</v>
      </c>
      <c r="C20">
        <v>3.74</v>
      </c>
    </row>
    <row r="21" spans="1:3" x14ac:dyDescent="0.25">
      <c r="A21" s="3" t="s">
        <v>74</v>
      </c>
      <c r="B21">
        <v>70862.87</v>
      </c>
      <c r="C21">
        <v>3.3</v>
      </c>
    </row>
    <row r="22" spans="1:3" x14ac:dyDescent="0.25">
      <c r="A22" s="3" t="s">
        <v>75</v>
      </c>
      <c r="B22">
        <v>7958.4453999999996</v>
      </c>
      <c r="C22">
        <v>10</v>
      </c>
    </row>
    <row r="23" spans="1:3" x14ac:dyDescent="0.25">
      <c r="A23" s="3" t="s">
        <v>76</v>
      </c>
      <c r="B23">
        <v>8176.4849999999997</v>
      </c>
      <c r="C23">
        <v>4.3</v>
      </c>
    </row>
    <row r="24" spans="1:3" x14ac:dyDescent="0.25">
      <c r="A24" s="3" t="s">
        <v>77</v>
      </c>
      <c r="B24">
        <v>8612.5642000000007</v>
      </c>
      <c r="C24">
        <v>8.3000000000000007</v>
      </c>
    </row>
    <row r="25" spans="1:3" x14ac:dyDescent="0.25">
      <c r="A25" s="3" t="s">
        <v>78</v>
      </c>
      <c r="B25">
        <v>7631.3860000000004</v>
      </c>
      <c r="C25">
        <v>5.7</v>
      </c>
    </row>
    <row r="26" spans="1:3" x14ac:dyDescent="0.25">
      <c r="A26" s="3" t="s">
        <v>79</v>
      </c>
      <c r="B26">
        <v>63634.857259999997</v>
      </c>
      <c r="C26">
        <v>3.2</v>
      </c>
    </row>
    <row r="27" spans="1:3" x14ac:dyDescent="0.25">
      <c r="A27" s="3" t="s">
        <v>80</v>
      </c>
      <c r="B27">
        <v>545.09900000000005</v>
      </c>
      <c r="C27">
        <v>3.4</v>
      </c>
    </row>
    <row r="28" spans="1:3" x14ac:dyDescent="0.25">
      <c r="A28" s="3" t="s">
        <v>81</v>
      </c>
      <c r="B28">
        <v>7086.2870000000003</v>
      </c>
      <c r="C28">
        <v>8.1</v>
      </c>
    </row>
    <row r="29" spans="1:3" x14ac:dyDescent="0.25">
      <c r="A29" s="3" t="s">
        <v>82</v>
      </c>
      <c r="B29">
        <v>10057.07655</v>
      </c>
      <c r="C29">
        <v>4.4000000000000004</v>
      </c>
    </row>
    <row r="30" spans="1:3" x14ac:dyDescent="0.25">
      <c r="A30" s="3" t="s">
        <v>83</v>
      </c>
      <c r="B30">
        <v>4715.10635</v>
      </c>
      <c r="C30">
        <v>7.55</v>
      </c>
    </row>
    <row r="31" spans="1:3" x14ac:dyDescent="0.25">
      <c r="A31" s="3" t="s">
        <v>84</v>
      </c>
      <c r="B31">
        <v>8815.4500478000009</v>
      </c>
      <c r="C31">
        <v>12</v>
      </c>
    </row>
    <row r="32" spans="1:3" x14ac:dyDescent="0.25">
      <c r="A32" s="3" t="s">
        <v>85</v>
      </c>
      <c r="B32">
        <v>708.62869999999998</v>
      </c>
      <c r="C32">
        <v>3.9</v>
      </c>
    </row>
    <row r="33" spans="1:3" x14ac:dyDescent="0.25">
      <c r="A33" s="3" t="s">
        <v>63</v>
      </c>
      <c r="B33">
        <v>2109.5331299999998</v>
      </c>
      <c r="C33">
        <v>5.5</v>
      </c>
    </row>
    <row r="34" spans="1:3" x14ac:dyDescent="0.25">
      <c r="A34" s="3" t="s">
        <v>86</v>
      </c>
      <c r="B34">
        <v>4640.8366112499998</v>
      </c>
      <c r="C34">
        <v>3.2</v>
      </c>
    </row>
    <row r="35" spans="1:3" x14ac:dyDescent="0.25">
      <c r="A35" s="3" t="s">
        <v>87</v>
      </c>
      <c r="B35">
        <v>2152.5959509999998</v>
      </c>
      <c r="C35">
        <v>4.2</v>
      </c>
    </row>
    <row r="36" spans="1:3" x14ac:dyDescent="0.25">
      <c r="A36" s="3" t="s">
        <v>88</v>
      </c>
      <c r="B36">
        <v>13014.892743799999</v>
      </c>
      <c r="C36">
        <v>3.1</v>
      </c>
    </row>
    <row r="37" spans="1:3" x14ac:dyDescent="0.25">
      <c r="A37" s="3" t="s">
        <v>89</v>
      </c>
      <c r="B37">
        <v>3202.6746645999997</v>
      </c>
      <c r="C37">
        <v>3.35</v>
      </c>
    </row>
    <row r="38" spans="1:3" x14ac:dyDescent="0.25">
      <c r="A38" s="3" t="s">
        <v>90</v>
      </c>
      <c r="B38">
        <v>10885.62703</v>
      </c>
      <c r="C38">
        <v>3.3</v>
      </c>
    </row>
    <row r="39" spans="1:3" x14ac:dyDescent="0.25">
      <c r="A39" s="3" t="s">
        <v>91</v>
      </c>
      <c r="B39">
        <v>8344.9751009000011</v>
      </c>
      <c r="C39">
        <v>3.4</v>
      </c>
    </row>
    <row r="40" spans="1:3" x14ac:dyDescent="0.25">
      <c r="A40" s="3" t="s">
        <v>92</v>
      </c>
      <c r="B40">
        <v>5834.6851861000005</v>
      </c>
      <c r="C40">
        <v>3.5</v>
      </c>
    </row>
    <row r="41" spans="1:3" x14ac:dyDescent="0.25">
      <c r="A41" s="3" t="s">
        <v>93</v>
      </c>
      <c r="B41">
        <v>5276.5583200000001</v>
      </c>
      <c r="C41">
        <v>3.7</v>
      </c>
    </row>
    <row r="42" spans="1:3" x14ac:dyDescent="0.25">
      <c r="A42" s="3" t="s">
        <v>94</v>
      </c>
      <c r="B42">
        <v>16617.343014999999</v>
      </c>
      <c r="C42">
        <v>3.7</v>
      </c>
    </row>
    <row r="43" spans="1:3" x14ac:dyDescent="0.25">
      <c r="A43" s="3" t="s">
        <v>95</v>
      </c>
      <c r="B43">
        <v>10842.6732288</v>
      </c>
      <c r="C43">
        <v>3.3</v>
      </c>
    </row>
    <row r="44" spans="1:3" x14ac:dyDescent="0.25">
      <c r="A44" s="3" t="s">
        <v>96</v>
      </c>
      <c r="B44">
        <v>14727.375762200001</v>
      </c>
      <c r="C44">
        <v>4.75</v>
      </c>
    </row>
    <row r="45" spans="1:3" x14ac:dyDescent="0.25">
      <c r="A45" s="3" t="s">
        <v>97</v>
      </c>
      <c r="B45">
        <v>807.29161899999997</v>
      </c>
      <c r="C45">
        <v>3</v>
      </c>
    </row>
    <row r="46" spans="1:3" x14ac:dyDescent="0.25">
      <c r="A46" s="3" t="s">
        <v>98</v>
      </c>
      <c r="B46">
        <v>7238.9147199999998</v>
      </c>
      <c r="C46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FeedData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Sarah.Kinz</cp:lastModifiedBy>
  <dcterms:created xsi:type="dcterms:W3CDTF">2022-03-03T22:10:56Z</dcterms:created>
  <dcterms:modified xsi:type="dcterms:W3CDTF">2022-03-07T15:21:54Z</dcterms:modified>
</cp:coreProperties>
</file>